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VP Respo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5F0E6"/>
      <sz val="11"/>
    </font>
    <font>
      <b val="1"/>
      <color rgb="0035432F"/>
      <sz val="16"/>
    </font>
    <font>
      <i val="1"/>
      <color rgb="005B6250"/>
      <sz val="10"/>
    </font>
    <font>
      <b val="1"/>
      <color rgb="00F5F0E6"/>
    </font>
    <font>
      <color rgb="0035432F"/>
      <sz val="12"/>
    </font>
    <font>
      <b val="1"/>
      <color rgb="0035432F"/>
      <sz val="14"/>
    </font>
    <font>
      <i val="1"/>
      <color rgb="005B6250"/>
      <sz val="9"/>
    </font>
  </fonts>
  <fills count="5">
    <fill>
      <patternFill/>
    </fill>
    <fill>
      <patternFill patternType="gray125"/>
    </fill>
    <fill>
      <patternFill patternType="solid">
        <fgColor rgb="0035432F"/>
      </patternFill>
    </fill>
    <fill>
      <patternFill patternType="solid">
        <fgColor rgb="00F5F0E6"/>
      </patternFill>
    </fill>
    <fill>
      <patternFill patternType="solid">
        <fgColor rgb="00CBA7A0"/>
      </patternFill>
    </fill>
  </fills>
  <borders count="2">
    <border>
      <left/>
      <right/>
      <top/>
      <bottom/>
      <diagonal/>
    </border>
    <border>
      <bottom style="thin">
        <color rgb="00E9E0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vertical="center" wrapText="1"/>
    </xf>
    <xf numFmtId="0" fontId="7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SVP" displayName="RSVP" ref="A1:F2" headerRowCount="1">
  <autoFilter ref="A1:F2"/>
  <tableColumns count="6">
    <tableColumn id="1" name="Timestamp"/>
    <tableColumn id="2" name="Guest name"/>
    <tableColumn id="3" name="Will attend?"/>
    <tableColumn id="4" name="Total people"/>
    <tableColumn id="5" name="Additional guests"/>
    <tableColumn id="6" name="Submission ID"/>
  </tableColumns>
  <tableStyleInfo name="TableStyleLight15" showRowStripes="1"/>
</table>
</file>

<file path=xl/tables/table2.xml><?xml version="1.0" encoding="utf-8"?>
<table xmlns="http://schemas.openxmlformats.org/spreadsheetml/2006/main" id="2" name="Invited" displayName="Invited" ref="A1:B2" headerRowCount="1">
  <autoFilter ref="A1:B2"/>
  <tableColumns count="2">
    <tableColumn id="1" name="Guest name"/>
    <tableColumn id="2" name="Responded?"/>
  </tableColumns>
  <tableStyleInfo name="TableStyleLight1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4" customWidth="1" min="3" max="3"/>
    <col width="14" customWidth="1" min="4" max="4"/>
    <col width="18" customWidth="1" min="5" max="5"/>
    <col width="38" customWidth="1" min="6" max="6"/>
  </cols>
  <sheetData>
    <row r="1" ht="30" customHeight="1">
      <c r="A1" s="1" t="inlineStr">
        <is>
          <t>Timestamp</t>
        </is>
      </c>
      <c r="B1" s="1" t="inlineStr">
        <is>
          <t>Guest name</t>
        </is>
      </c>
      <c r="C1" s="1" t="inlineStr">
        <is>
          <t>Will attend?</t>
        </is>
      </c>
      <c r="D1" s="1" t="inlineStr">
        <is>
          <t>Total people</t>
        </is>
      </c>
      <c r="E1" s="1" t="inlineStr">
        <is>
          <t>Additional guests</t>
        </is>
      </c>
      <c r="F1" s="1" t="inlineStr">
        <is>
          <t>Submission ID</t>
        </is>
      </c>
    </row>
  </sheetData>
  <dataValidations count="1">
    <dataValidation sqref="C2:C2000" showDropDown="0" showInputMessage="0" showErrorMessage="0" allowBlank="1" type="list">
      <formula1>"Да,Нет"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2" t="inlineStr">
        <is>
          <t>Susánna’s birthday party — сводка ответов</t>
        </is>
      </c>
    </row>
    <row r="2">
      <c r="A2" s="3" t="inlineStr">
        <is>
          <t>Обновляется автоматически при каждом новом ответе.</t>
        </is>
      </c>
    </row>
    <row r="4">
      <c r="A4" s="4" t="inlineStr">
        <is>
          <t>Показатель</t>
        </is>
      </c>
      <c r="B4" s="4" t="inlineStr">
        <is>
          <t>Значение</t>
        </is>
      </c>
      <c r="C4" s="4" t="inlineStr">
        <is>
          <t>Комментарий</t>
        </is>
      </c>
    </row>
    <row r="5" ht="28" customHeight="1">
      <c r="A5" s="5" t="inlineStr">
        <is>
          <t>Получено ответов</t>
        </is>
      </c>
      <c r="B5" s="6">
        <f>COUNTA('RSVP Responses'!$B$2:$B$2000)</f>
        <v/>
      </c>
      <c r="C5" s="7" t="inlineStr">
        <is>
          <t>Все анкеты, включая повторные от одного гостя.</t>
        </is>
      </c>
    </row>
    <row r="6" ht="28" customHeight="1">
      <c r="A6" s="5" t="inlineStr">
        <is>
          <t>Подтвердили присутствие</t>
        </is>
      </c>
      <c r="B6" s="6">
        <f>COUNTIF('RSVP Responses'!$C$2:$C$2000,"Да")</f>
        <v/>
      </c>
      <c r="C6" s="7" t="inlineStr"/>
    </row>
    <row r="7" ht="28" customHeight="1">
      <c r="A7" s="5" t="inlineStr">
        <is>
          <t>Не смогут прийти</t>
        </is>
      </c>
      <c r="B7" s="6">
        <f>COUNTIF('RSVP Responses'!$C$2:$C$2000,"Нет")</f>
        <v/>
      </c>
      <c r="C7" s="7" t="inlineStr"/>
    </row>
    <row r="8" ht="28" customHeight="1">
      <c r="A8" s="5" t="inlineStr">
        <is>
          <t>Ожидаемое число гостей</t>
        </is>
      </c>
      <c r="B8" s="6">
        <f>SUM('RSVP Responses'!$D$2:$D$2000)</f>
        <v/>
      </c>
      <c r="C8" s="7" t="inlineStr">
        <is>
          <t>Сумма «Total people» — включая самих приглашённых.</t>
        </is>
      </c>
    </row>
    <row r="9" ht="28" customHeight="1">
      <c r="A9" s="5" t="inlineStr">
        <is>
          <t>Приглашено по списку</t>
        </is>
      </c>
      <c r="B9" s="6">
        <f>COUNTA(Invited!$A$2:$A$2000)</f>
        <v/>
      </c>
      <c r="C9" s="7" t="inlineStr">
        <is>
          <t>Заполните лист «Invited», чтобы видеть, кто ещё не ответил.</t>
        </is>
      </c>
    </row>
    <row r="10" ht="28" customHeight="1">
      <c r="A10" s="5" t="inlineStr">
        <is>
          <t>Ещё не ответили</t>
        </is>
      </c>
      <c r="B10" s="6">
        <f>IF(B9=0,"—",SUMPRODUCT((Invited!$A$2:$A$2000&lt;&gt;"")*(COUNTIF('RSVP Responses'!$B$2:$B$2000,Invited!$A$2:$A$2000)=0)))</f>
        <v/>
      </c>
      <c r="C10" s="7" t="inlineStr">
        <is>
          <t>Сравнение по имени: пишите имена в «Invited» так же, как гости в анкете.</t>
        </is>
      </c>
    </row>
    <row r="13">
      <c r="A13" s="8" t="inlineStr">
        <is>
          <t>Если гость отправил анкету повторно, учитываются обе строки — удалите устаревшую на листе «RSVP Responses».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9" t="inlineStr">
        <is>
          <t>Guest name</t>
        </is>
      </c>
      <c r="B1" s="9" t="inlineStr">
        <is>
          <t>Responded?</t>
        </is>
      </c>
      <c r="D1" s="8" t="inlineStr">
        <is>
          <t>Впишите сюда имена приглашённых (по одному в строке) — сводка покажет, кто ещё не ответил.</t>
        </is>
      </c>
    </row>
    <row r="2">
      <c r="B2">
        <f>IF(A2="","",IF(COUNTIF('RSVP Responses'!$B$2:$B$2000,A2)&gt;0,"Да","Нет"))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2026-10-17T15:58:13Z</dcterms:created>
  <dcterms:modified xmlns:dcterms="http://purl.org/dc/terms/" xmlns:xsi="http://www.w3.org/2001/XMLSchema-instance" xsi:type="dcterms:W3CDTF">2026-10-17T15:58:13Z</dcterms:modified>
</cp:coreProperties>
</file>